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taSius\Downloads\"/>
    </mc:Choice>
  </mc:AlternateContent>
  <xr:revisionPtr revIDLastSave="0" documentId="13_ncr:9_{D467A564-1334-49B5-8255-D5D6EB01F578}" xr6:coauthVersionLast="47" xr6:coauthVersionMax="47" xr10:uidLastSave="{00000000-0000-0000-0000-000000000000}"/>
  <bookViews>
    <workbookView xWindow="-110" yWindow="-110" windowWidth="19420" windowHeight="11500" xr2:uid="{9B7751AE-110F-46F0-AAE1-47F344EF278C}"/>
  </bookViews>
  <sheets>
    <sheet name="CollectionsARAging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1" l="1"/>
</calcChain>
</file>

<file path=xl/sharedStrings.xml><?xml version="1.0" encoding="utf-8"?>
<sst xmlns="http://schemas.openxmlformats.org/spreadsheetml/2006/main" count="353" uniqueCount="172">
  <si>
    <t>Sesami</t>
  </si>
  <si>
    <t>Sesami Cash Management Australia Pty Ltd : Sesami Cash Management New Zealand Pty Limited</t>
  </si>
  <si>
    <t>Collections -  A/R Aging Detail</t>
  </si>
  <si>
    <t>As of 31 December 2025</t>
  </si>
  <si>
    <t>Customer</t>
  </si>
  <si>
    <t>Transaction Type</t>
  </si>
  <si>
    <t>Date</t>
  </si>
  <si>
    <t>Document Number</t>
  </si>
  <si>
    <t>Due Date</t>
  </si>
  <si>
    <t>Email</t>
  </si>
  <si>
    <t>Age</t>
  </si>
  <si>
    <t>Open Balance</t>
  </si>
  <si>
    <t>BP (NZ)</t>
  </si>
  <si>
    <t>Invoice</t>
  </si>
  <si>
    <t>IN0045513</t>
  </si>
  <si>
    <t>Rinat.Kassymov@se1.bp.com</t>
  </si>
  <si>
    <t>IN0045774</t>
  </si>
  <si>
    <t>IN0046511</t>
  </si>
  <si>
    <t>BP (NZ):BP OIL NZ LTD</t>
  </si>
  <si>
    <t>IN0044045</t>
  </si>
  <si>
    <t>IN0044046</t>
  </si>
  <si>
    <t>IN0044047</t>
  </si>
  <si>
    <t>IN0044048</t>
  </si>
  <si>
    <t>FOODSTUFFS SOUTH ISLAND LTD</t>
  </si>
  <si>
    <t>Payment</t>
  </si>
  <si>
    <t>PY0022939</t>
  </si>
  <si>
    <t>FOODSTUFFS SOUTH ISLAND LTD:FOODSTUFFS SOUTH ISLAND LTD: PAK N SAVE ROLLESTON</t>
  </si>
  <si>
    <t>IN0046671</t>
  </si>
  <si>
    <t>FOODSTUFFS SOUTH ISLAND LTD:FOUR SQUARE TEKAPO</t>
  </si>
  <si>
    <t>IN0046652</t>
  </si>
  <si>
    <t>digitalservicesprocurement@foodstuffs-si.co.nz</t>
  </si>
  <si>
    <t>FOODSTUFFS SOUTH ISLAND LTD:NEW WORLD 3 PARKS (WANAKA)</t>
  </si>
  <si>
    <t>IN0046657</t>
  </si>
  <si>
    <t>FOODSTUFFS SOUTH ISLAND LTD:NEW WORLD ALEXANDRA</t>
  </si>
  <si>
    <t>IN0046653</t>
  </si>
  <si>
    <t>Digitalservicesprocurement@foodstuffs-si.co.nz</t>
  </si>
  <si>
    <t>FOODSTUFFS SOUTH ISLAND LTD:NEW WORLD ASHBURTON</t>
  </si>
  <si>
    <t>Credit Memo</t>
  </si>
  <si>
    <t>CM0002175</t>
  </si>
  <si>
    <t>invoices@foodstuffs-si.co.nz</t>
  </si>
  <si>
    <t>IN0046627</t>
  </si>
  <si>
    <t>FOODSTUFFS SOUTH ISLAND LTD:NEW WORLD BLENHEIM</t>
  </si>
  <si>
    <t>IN0046661</t>
  </si>
  <si>
    <t>FOODSTUFFS SOUTH ISLAND LTD:NEW WORLD CITY CENTRE DUNEDIN</t>
  </si>
  <si>
    <t>IN0046629</t>
  </si>
  <si>
    <t>FOODSTUFFS SOUTH ISLAND LTD:NEW WORLD DURHAM ST</t>
  </si>
  <si>
    <t>IN0046656</t>
  </si>
  <si>
    <t>FOODSTUFFS SOUTH ISLAND LTD:NEW WORLD FENDALTON</t>
  </si>
  <si>
    <t>IN0046658</t>
  </si>
  <si>
    <t>FOODSTUFFS SOUTH ISLAND LTD:NEW WORLD FERRY ROAD</t>
  </si>
  <si>
    <t>IN0046647</t>
  </si>
  <si>
    <t>FOODSTUFFS SOUTH ISLAND LTD:NEW WORLD GORE</t>
  </si>
  <si>
    <t>IN0046659</t>
  </si>
  <si>
    <t>FOODSTUFFS SOUTH ISLAND LTD:NEW WORLD HOKITIKA</t>
  </si>
  <si>
    <t>IN0046651</t>
  </si>
  <si>
    <t>FOODSTUFFS SOUTH ISLAND LTD:NEW WORLD IIAM</t>
  </si>
  <si>
    <t>IN0046637</t>
  </si>
  <si>
    <t>FOODSTUFFS SOUTH ISLAND LTD:NEW WORLD KAIAPOI</t>
  </si>
  <si>
    <t>IN0046670</t>
  </si>
  <si>
    <t>FOODSTUFFS SOUTH ISLAND LTD:NEW WORLD KAIKOURA</t>
  </si>
  <si>
    <t>IN0046646</t>
  </si>
  <si>
    <t>FOODSTUFFS SOUTH ISLAND LTD:NEW WORLD MOSGIEL</t>
  </si>
  <si>
    <t>IN0046648</t>
  </si>
  <si>
    <t>FOODSTUFFS SOUTH ISLAND LTD:NEW WORLD MOTUEKA</t>
  </si>
  <si>
    <t>IN0046666</t>
  </si>
  <si>
    <t>FOODSTUFFS SOUTH ISLAND LTD:NEW WORLD NELSON</t>
  </si>
  <si>
    <t>IN0046662</t>
  </si>
  <si>
    <t>FOODSTUFFS SOUTH ISLAND LTD:NEW WORLD NORTHWOOD</t>
  </si>
  <si>
    <t>IN0046630</t>
  </si>
  <si>
    <t>FOODSTUFFS SOUTH ISLAND LTD:NEW WORLD PRESTONS</t>
  </si>
  <si>
    <t>IN0046654</t>
  </si>
  <si>
    <t>FOODSTUFFS SOUTH ISLAND LTD:NEW WORLD QUEENSTOWN</t>
  </si>
  <si>
    <t>IN0046631</t>
  </si>
  <si>
    <t>FOODSTUFFS SOUTH ISLAND LTD:NEW WORLD RANGIORA</t>
  </si>
  <si>
    <t>IN0046230</t>
  </si>
  <si>
    <t>IN0046632</t>
  </si>
  <si>
    <t>FOODSTUFFS SOUTH ISLAND LTD:NEW WORLD RAVENSWOOD</t>
  </si>
  <si>
    <t>IN0046664</t>
  </si>
  <si>
    <t>FOODSTUFFS SOUTH ISLAND LTD:NEW WORLD ROLLESTON</t>
  </si>
  <si>
    <t>IN0046638</t>
  </si>
  <si>
    <t>FOODSTUFFS SOUTH ISLAND LTD:NEW WORLD ST MARTINS</t>
  </si>
  <si>
    <t>IN0046665</t>
  </si>
  <si>
    <t>FOODSTUFFS SOUTH ISLAND LTD:NEW WORLD STANMORE</t>
  </si>
  <si>
    <t>IN0046669</t>
  </si>
  <si>
    <t>FOODSTUFFS SOUTH ISLAND LTD:NEW WORLD STOKE</t>
  </si>
  <si>
    <t>IN0046645</t>
  </si>
  <si>
    <t>FOODSTUFFS SOUTH ISLAND LTD:NEW WORLD TIMARU</t>
  </si>
  <si>
    <t>IN0046633</t>
  </si>
  <si>
    <t>FOODSTUFFS SOUTH ISLAND LTD:NEW WORLD WAITAKI</t>
  </si>
  <si>
    <t>IN0046219</t>
  </si>
  <si>
    <t>IN0046641</t>
  </si>
  <si>
    <t>FOODSTUFFS SOUTH ISLAND LTD:NEW WORLD WANAKA</t>
  </si>
  <si>
    <t>IN0046668</t>
  </si>
  <si>
    <t>FOODSTUFFS SOUTH ISLAND LTD:NEW WORLD WIGRAM</t>
  </si>
  <si>
    <t>IN0046642</t>
  </si>
  <si>
    <t>FOODSTUFFS SOUTH ISLAND LTD:NEW WORLD WINDSOR</t>
  </si>
  <si>
    <t>CM0002127</t>
  </si>
  <si>
    <t>Samantha.Hansen-Read@newworld-si.co.nz</t>
  </si>
  <si>
    <t>IN0046634</t>
  </si>
  <si>
    <t>FOODSTUFFS SOUTH ISLAND LTD:PAK N SAVE BLENHEIM</t>
  </si>
  <si>
    <t>IN0046628</t>
  </si>
  <si>
    <t>FOODSTUFFS SOUTH ISLAND LTD:PAK N SAVE DUNEDIN</t>
  </si>
  <si>
    <t>IN0046635</t>
  </si>
  <si>
    <t>FOODSTUFFS SOUTH ISLAND LTD:PAK N SAVE HORNBY</t>
  </si>
  <si>
    <t>IN0046636</t>
  </si>
  <si>
    <t>FOODSTUFFS SOUTH ISLAND LTD:PAK N SAVE INVERCARGILL</t>
  </si>
  <si>
    <t>IN0046663</t>
  </si>
  <si>
    <t>FOODSTUFFS SOUTH ISLAND LTD:PAK N SAVE MOORHOUSE</t>
  </si>
  <si>
    <t>CM0002180</t>
  </si>
  <si>
    <t>IN0046660</t>
  </si>
  <si>
    <t>FOODSTUFFS SOUTH ISLAND LTD:PAK N SAVE PAPANUI</t>
  </si>
  <si>
    <t>IN0046667</t>
  </si>
  <si>
    <t>FOODSTUFFS SOUTH ISLAND LTD:PAK N SAVE QUEENSTOWN</t>
  </si>
  <si>
    <t>CM0002181</t>
  </si>
  <si>
    <t>IN0046649</t>
  </si>
  <si>
    <t>FOODSTUFFS SOUTH ISLAND LTD:PAK N SAVE RANGIORA</t>
  </si>
  <si>
    <t>CM0002177</t>
  </si>
  <si>
    <t>IN0046640</t>
  </si>
  <si>
    <t>FOODSTUFFS SOUTH ISLAND LTD:PAK N SAVE RICCARTON</t>
  </si>
  <si>
    <t>IN0046220</t>
  </si>
  <si>
    <t>IN0046650</t>
  </si>
  <si>
    <t>FOODSTUFFS SOUTH ISLAND LTD:PAK N SAVE RICHMOND</t>
  </si>
  <si>
    <t>IN0046643</t>
  </si>
  <si>
    <t>FOODSTUFFS SOUTH ISLAND LTD:PAK N SAVE TIMARU</t>
  </si>
  <si>
    <t>IN0046644</t>
  </si>
  <si>
    <t>FOODSTUFFS SOUTH ISLAND LTD:PAK N SAVE WAINONI</t>
  </si>
  <si>
    <t>IN0046639</t>
  </si>
  <si>
    <t>IN0046655</t>
  </si>
  <si>
    <t>GLORY GLOBAL (NZ)</t>
  </si>
  <si>
    <t>IN0046621</t>
  </si>
  <si>
    <t>accounts@nz.glory-global.com</t>
  </si>
  <si>
    <t>IN0046986</t>
  </si>
  <si>
    <t>JD SPORTS NZ</t>
  </si>
  <si>
    <t>IN0045598</t>
  </si>
  <si>
    <t>KMART (NZ) LTD</t>
  </si>
  <si>
    <t>CM0002030</t>
  </si>
  <si>
    <t>KmartITAccounts@kmart.com.au</t>
  </si>
  <si>
    <t>IN0044337</t>
  </si>
  <si>
    <t>IN0046453</t>
  </si>
  <si>
    <t>NCR (CARDRONICS) NZ</t>
  </si>
  <si>
    <t>IN0044095</t>
  </si>
  <si>
    <t>mg185402@ncratleos.com</t>
  </si>
  <si>
    <t>IN0044096</t>
  </si>
  <si>
    <t>IN0044762</t>
  </si>
  <si>
    <t>IN0045481</t>
  </si>
  <si>
    <t>IN0046024</t>
  </si>
  <si>
    <t>IN0046911</t>
  </si>
  <si>
    <t>NELSON PETROLEUM DISTRIBUTERS | NZ</t>
  </si>
  <si>
    <t>IN0046240</t>
  </si>
  <si>
    <t>admin@npdretail.co.nz</t>
  </si>
  <si>
    <t>SESAMI CASH MANAGEMENT AUSTRALIA PTY LTD | (NZ)</t>
  </si>
  <si>
    <t>IN0041344</t>
  </si>
  <si>
    <t>accountsau@consillion.com</t>
  </si>
  <si>
    <t>IN0041493</t>
  </si>
  <si>
    <t>Journal</t>
  </si>
  <si>
    <t>JE0027010</t>
  </si>
  <si>
    <t>IN0043157</t>
  </si>
  <si>
    <t>JE0027375</t>
  </si>
  <si>
    <t>JE0027841</t>
  </si>
  <si>
    <t>IN0044163</t>
  </si>
  <si>
    <t>JE0028297</t>
  </si>
  <si>
    <t>JE0028649</t>
  </si>
  <si>
    <t>JE0029190</t>
  </si>
  <si>
    <t>JE0029830</t>
  </si>
  <si>
    <t>Currency Revaluation</t>
  </si>
  <si>
    <t>CR0008961</t>
  </si>
  <si>
    <t>Z ENERGY (NZ)</t>
  </si>
  <si>
    <t>IN0046960</t>
  </si>
  <si>
    <t>jared.jenkins@z.co.nz</t>
  </si>
  <si>
    <t>IN0046972</t>
  </si>
  <si>
    <t>Emily.capellino@z.co.nz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</si>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</sst>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23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sz val="8"/>
      <color indexed="8"/>
      <name val="Arial"/>
    </font>
    <font>
      <b/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right"/>
    </xf>
    <xf numFmtId="0" fontId="21" fillId="0" borderId="10" xfId="0" applyFont="1" applyBorder="1" applyAlignment="1">
      <alignment horizontal="left" vertical="center"/>
    </xf>
    <xf numFmtId="14" fontId="21" fillId="0" borderId="10" xfId="0" applyNumberFormat="1" applyFont="1" applyBorder="1" applyAlignment="1">
      <alignment horizontal="left" vertical="center"/>
    </xf>
    <xf numFmtId="3" fontId="21" fillId="0" borderId="10" xfId="0" applyNumberFormat="1" applyFont="1" applyBorder="1" applyAlignment="1">
      <alignment horizontal="right" vertical="center"/>
    </xf>
    <xf numFmtId="168" fontId="21" fillId="0" borderId="10" xfId="0" applyNumberFormat="1" applyFont="1" applyBorder="1" applyAlignment="1">
      <alignment horizontal="right" vertical="center"/>
    </xf>
    <xf numFmtId="0" fontId="22" fillId="0" borderId="10" xfId="0" applyFont="1" applyBorder="1" applyAlignment="1">
      <alignment horizontal="left" vertical="center"/>
    </xf>
    <xf numFmtId="14" fontId="22" fillId="0" borderId="10" xfId="0" applyNumberFormat="1" applyFont="1" applyBorder="1" applyAlignment="1">
      <alignment horizontal="left" vertical="center"/>
    </xf>
    <xf numFmtId="3" fontId="22" fillId="0" borderId="10" xfId="0" applyNumberFormat="1" applyFont="1" applyBorder="1" applyAlignment="1">
      <alignment horizontal="right" vertical="center"/>
    </xf>
    <xf numFmtId="168" fontId="22" fillId="0" borderId="10" xfId="0" applyNumberFormat="1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83B6-8310-4DA2-8048-C7D9B6AD99B2}">
  <dimension ref="A1:H94"/>
  <sheetViews>
    <sheetView tabSelected="1" workbookViewId="0">
      <selection activeCell="J11" sqref="J11"/>
    </sheetView>
  </sheetViews>
  <sheetFormatPr defaultRowHeight="10" x14ac:dyDescent="0.2"/>
  <cols>
    <col min="1" max="1" width="68.77734375" customWidth="1"/>
    <col min="2" max="2" width="17.5546875" bestFit="1" customWidth="1"/>
    <col min="3" max="3" width="9.88671875" bestFit="1" customWidth="1"/>
    <col min="4" max="4" width="15.33203125" bestFit="1" customWidth="1"/>
    <col min="5" max="5" width="9.88671875" bestFit="1" customWidth="1"/>
    <col min="6" max="6" width="38.44140625" bestFit="1" customWidth="1"/>
    <col min="7" max="7" width="4" bestFit="1" customWidth="1"/>
    <col min="8" max="8" width="11.6640625" bestFit="1" customWidth="1"/>
  </cols>
  <sheetData>
    <row r="1" spans="1:8" ht="15.5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ht="15.5" x14ac:dyDescent="0.35">
      <c r="A2" s="1" t="s">
        <v>1</v>
      </c>
      <c r="B2" s="1"/>
      <c r="C2" s="1"/>
      <c r="D2" s="1"/>
      <c r="E2" s="1"/>
      <c r="F2" s="1"/>
      <c r="G2" s="1"/>
      <c r="H2" s="1"/>
    </row>
    <row r="3" spans="1:8" ht="18" x14ac:dyDescent="0.4">
      <c r="A3" s="2" t="s">
        <v>2</v>
      </c>
      <c r="B3" s="2"/>
      <c r="C3" s="2"/>
      <c r="D3" s="2"/>
      <c r="E3" s="2"/>
      <c r="F3" s="2"/>
      <c r="G3" s="2"/>
      <c r="H3" s="2"/>
    </row>
    <row r="4" spans="1:8" ht="18" x14ac:dyDescent="0.4">
      <c r="A4" s="2" t="s">
        <v>3</v>
      </c>
      <c r="B4" s="2"/>
      <c r="C4" s="2"/>
      <c r="D4" s="2"/>
      <c r="E4" s="2"/>
      <c r="F4" s="2"/>
      <c r="G4" s="2"/>
      <c r="H4" s="2"/>
    </row>
    <row r="5" spans="1:8" x14ac:dyDescent="0.2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4" t="s">
        <v>10</v>
      </c>
      <c r="H5" s="4" t="s">
        <v>11</v>
      </c>
    </row>
    <row r="6" spans="1:8" x14ac:dyDescent="0.2">
      <c r="A6" s="5" t="s">
        <v>12</v>
      </c>
      <c r="B6" s="5" t="s">
        <v>13</v>
      </c>
      <c r="C6" s="6">
        <v>45961</v>
      </c>
      <c r="D6" s="5" t="s">
        <v>14</v>
      </c>
      <c r="E6" s="6">
        <v>46021</v>
      </c>
      <c r="F6" s="5" t="s">
        <v>15</v>
      </c>
      <c r="G6" s="7">
        <v>100</v>
      </c>
      <c r="H6" s="8">
        <v>26696.1</v>
      </c>
    </row>
    <row r="7" spans="1:8" x14ac:dyDescent="0.2">
      <c r="A7" s="5" t="s">
        <v>12</v>
      </c>
      <c r="B7" s="5" t="s">
        <v>13</v>
      </c>
      <c r="C7" s="6">
        <v>45975</v>
      </c>
      <c r="D7" s="5" t="s">
        <v>16</v>
      </c>
      <c r="E7" s="6">
        <v>46035</v>
      </c>
      <c r="F7" s="5" t="s">
        <v>15</v>
      </c>
      <c r="G7" s="7">
        <v>86</v>
      </c>
      <c r="H7" s="8">
        <v>28060.23</v>
      </c>
    </row>
    <row r="8" spans="1:8" x14ac:dyDescent="0.2">
      <c r="A8" s="5" t="s">
        <v>12</v>
      </c>
      <c r="B8" s="5" t="s">
        <v>13</v>
      </c>
      <c r="C8" s="6">
        <v>46006</v>
      </c>
      <c r="D8" s="5" t="s">
        <v>17</v>
      </c>
      <c r="E8" s="6">
        <v>46066</v>
      </c>
      <c r="F8" s="5" t="s">
        <v>15</v>
      </c>
      <c r="G8" s="7">
        <v>55</v>
      </c>
      <c r="H8" s="8">
        <v>28060.23</v>
      </c>
    </row>
    <row r="9" spans="1:8" x14ac:dyDescent="0.2">
      <c r="A9" s="5" t="s">
        <v>18</v>
      </c>
      <c r="B9" s="5" t="s">
        <v>13</v>
      </c>
      <c r="C9" s="6">
        <v>45901</v>
      </c>
      <c r="D9" s="5" t="s">
        <v>19</v>
      </c>
      <c r="E9" s="6">
        <v>45931</v>
      </c>
      <c r="F9" s="5" t="s">
        <v>15</v>
      </c>
      <c r="G9" s="7">
        <v>190</v>
      </c>
      <c r="H9" s="8">
        <v>431.25</v>
      </c>
    </row>
    <row r="10" spans="1:8" x14ac:dyDescent="0.2">
      <c r="A10" s="5" t="s">
        <v>18</v>
      </c>
      <c r="B10" s="5" t="s">
        <v>13</v>
      </c>
      <c r="C10" s="6">
        <v>45901</v>
      </c>
      <c r="D10" s="5" t="s">
        <v>20</v>
      </c>
      <c r="E10" s="6">
        <v>45931</v>
      </c>
      <c r="F10" s="5" t="s">
        <v>15</v>
      </c>
      <c r="G10" s="7">
        <v>190</v>
      </c>
      <c r="H10" s="8">
        <v>2627.23</v>
      </c>
    </row>
    <row r="11" spans="1:8" x14ac:dyDescent="0.2">
      <c r="A11" s="5" t="s">
        <v>18</v>
      </c>
      <c r="B11" s="5" t="s">
        <v>13</v>
      </c>
      <c r="C11" s="6">
        <v>45901</v>
      </c>
      <c r="D11" s="5" t="s">
        <v>21</v>
      </c>
      <c r="E11" s="6">
        <v>45931</v>
      </c>
      <c r="F11" s="5" t="s">
        <v>15</v>
      </c>
      <c r="G11" s="7">
        <v>190</v>
      </c>
      <c r="H11" s="8">
        <v>948.75</v>
      </c>
    </row>
    <row r="12" spans="1:8" x14ac:dyDescent="0.2">
      <c r="A12" s="5" t="s">
        <v>18</v>
      </c>
      <c r="B12" s="5" t="s">
        <v>13</v>
      </c>
      <c r="C12" s="6">
        <v>45901</v>
      </c>
      <c r="D12" s="5" t="s">
        <v>22</v>
      </c>
      <c r="E12" s="6">
        <v>45931</v>
      </c>
      <c r="F12" s="5" t="s">
        <v>15</v>
      </c>
      <c r="G12" s="7">
        <v>190</v>
      </c>
      <c r="H12" s="8">
        <v>431.25</v>
      </c>
    </row>
    <row r="13" spans="1:8" x14ac:dyDescent="0.2">
      <c r="A13" s="5" t="s">
        <v>23</v>
      </c>
      <c r="B13" s="5" t="s">
        <v>24</v>
      </c>
      <c r="C13" s="6">
        <v>45777</v>
      </c>
      <c r="D13" s="5" t="s">
        <v>25</v>
      </c>
      <c r="E13" s="6">
        <v>45777</v>
      </c>
      <c r="F13" s="5"/>
      <c r="G13" s="7">
        <v>344</v>
      </c>
      <c r="H13" s="8">
        <v>-2500.75</v>
      </c>
    </row>
    <row r="14" spans="1:8" x14ac:dyDescent="0.2">
      <c r="A14" s="5" t="s">
        <v>26</v>
      </c>
      <c r="B14" s="5" t="s">
        <v>13</v>
      </c>
      <c r="C14" s="6">
        <v>46022</v>
      </c>
      <c r="D14" s="5" t="s">
        <v>27</v>
      </c>
      <c r="E14" s="6">
        <v>46053</v>
      </c>
      <c r="F14" s="5"/>
      <c r="G14" s="7">
        <v>68</v>
      </c>
      <c r="H14" s="8">
        <v>2157.4</v>
      </c>
    </row>
    <row r="15" spans="1:8" x14ac:dyDescent="0.2">
      <c r="A15" s="5" t="s">
        <v>28</v>
      </c>
      <c r="B15" s="5" t="s">
        <v>13</v>
      </c>
      <c r="C15" s="6">
        <v>46022</v>
      </c>
      <c r="D15" s="5" t="s">
        <v>29</v>
      </c>
      <c r="E15" s="6">
        <v>46053</v>
      </c>
      <c r="F15" s="5" t="s">
        <v>30</v>
      </c>
      <c r="G15" s="7">
        <v>68</v>
      </c>
      <c r="H15" s="8">
        <v>2731.25</v>
      </c>
    </row>
    <row r="16" spans="1:8" x14ac:dyDescent="0.2">
      <c r="A16" s="5" t="s">
        <v>31</v>
      </c>
      <c r="B16" s="5" t="s">
        <v>13</v>
      </c>
      <c r="C16" s="6">
        <v>46022</v>
      </c>
      <c r="D16" s="5" t="s">
        <v>32</v>
      </c>
      <c r="E16" s="6">
        <v>46053</v>
      </c>
      <c r="F16" s="5" t="s">
        <v>30</v>
      </c>
      <c r="G16" s="7">
        <v>68</v>
      </c>
      <c r="H16" s="8">
        <v>2616.25</v>
      </c>
    </row>
    <row r="17" spans="1:8" x14ac:dyDescent="0.2">
      <c r="A17" s="5" t="s">
        <v>33</v>
      </c>
      <c r="B17" s="5" t="s">
        <v>13</v>
      </c>
      <c r="C17" s="6">
        <v>46022</v>
      </c>
      <c r="D17" s="5" t="s">
        <v>34</v>
      </c>
      <c r="E17" s="6">
        <v>46053</v>
      </c>
      <c r="F17" s="5" t="s">
        <v>35</v>
      </c>
      <c r="G17" s="7">
        <v>68</v>
      </c>
      <c r="H17" s="8">
        <v>2731.25</v>
      </c>
    </row>
    <row r="18" spans="1:8" x14ac:dyDescent="0.2">
      <c r="A18" s="5" t="s">
        <v>36</v>
      </c>
      <c r="B18" s="5" t="s">
        <v>37</v>
      </c>
      <c r="C18" s="6">
        <v>45882</v>
      </c>
      <c r="D18" s="5" t="s">
        <v>38</v>
      </c>
      <c r="E18" s="6">
        <v>45882</v>
      </c>
      <c r="F18" s="5" t="s">
        <v>39</v>
      </c>
      <c r="G18" s="7">
        <v>239</v>
      </c>
      <c r="H18" s="8">
        <v>-1975.27</v>
      </c>
    </row>
    <row r="19" spans="1:8" x14ac:dyDescent="0.2">
      <c r="A19" s="5" t="s">
        <v>36</v>
      </c>
      <c r="B19" s="5" t="s">
        <v>13</v>
      </c>
      <c r="C19" s="6">
        <v>46022</v>
      </c>
      <c r="D19" s="5" t="s">
        <v>40</v>
      </c>
      <c r="E19" s="6">
        <v>46053</v>
      </c>
      <c r="F19" s="5" t="s">
        <v>30</v>
      </c>
      <c r="G19" s="7">
        <v>68</v>
      </c>
      <c r="H19" s="8">
        <v>2156.25</v>
      </c>
    </row>
    <row r="20" spans="1:8" x14ac:dyDescent="0.2">
      <c r="A20" s="5" t="s">
        <v>41</v>
      </c>
      <c r="B20" s="5" t="s">
        <v>13</v>
      </c>
      <c r="C20" s="6">
        <v>46022</v>
      </c>
      <c r="D20" s="5" t="s">
        <v>42</v>
      </c>
      <c r="E20" s="6">
        <v>46053</v>
      </c>
      <c r="F20" s="5" t="s">
        <v>30</v>
      </c>
      <c r="G20" s="7">
        <v>68</v>
      </c>
      <c r="H20" s="8">
        <v>2501.25</v>
      </c>
    </row>
    <row r="21" spans="1:8" x14ac:dyDescent="0.2">
      <c r="A21" s="5" t="s">
        <v>43</v>
      </c>
      <c r="B21" s="5" t="s">
        <v>13</v>
      </c>
      <c r="C21" s="6">
        <v>46022</v>
      </c>
      <c r="D21" s="5" t="s">
        <v>44</v>
      </c>
      <c r="E21" s="6">
        <v>46053</v>
      </c>
      <c r="F21" s="5" t="s">
        <v>30</v>
      </c>
      <c r="G21" s="7">
        <v>68</v>
      </c>
      <c r="H21" s="8">
        <v>3708.75</v>
      </c>
    </row>
    <row r="22" spans="1:8" x14ac:dyDescent="0.2">
      <c r="A22" s="5" t="s">
        <v>45</v>
      </c>
      <c r="B22" s="5" t="s">
        <v>13</v>
      </c>
      <c r="C22" s="6">
        <v>46022</v>
      </c>
      <c r="D22" s="5" t="s">
        <v>46</v>
      </c>
      <c r="E22" s="6">
        <v>46053</v>
      </c>
      <c r="F22" s="5" t="s">
        <v>30</v>
      </c>
      <c r="G22" s="7">
        <v>68</v>
      </c>
      <c r="H22" s="8">
        <v>2616.25</v>
      </c>
    </row>
    <row r="23" spans="1:8" x14ac:dyDescent="0.2">
      <c r="A23" s="5" t="s">
        <v>47</v>
      </c>
      <c r="B23" s="5" t="s">
        <v>13</v>
      </c>
      <c r="C23" s="6">
        <v>46022</v>
      </c>
      <c r="D23" s="5" t="s">
        <v>48</v>
      </c>
      <c r="E23" s="6">
        <v>46053</v>
      </c>
      <c r="F23" s="5" t="s">
        <v>30</v>
      </c>
      <c r="G23" s="7">
        <v>68</v>
      </c>
      <c r="H23" s="8">
        <v>2616.25</v>
      </c>
    </row>
    <row r="24" spans="1:8" x14ac:dyDescent="0.2">
      <c r="A24" s="5" t="s">
        <v>49</v>
      </c>
      <c r="B24" s="5" t="s">
        <v>13</v>
      </c>
      <c r="C24" s="6">
        <v>46022</v>
      </c>
      <c r="D24" s="5" t="s">
        <v>50</v>
      </c>
      <c r="E24" s="6">
        <v>46053</v>
      </c>
      <c r="F24" s="5" t="s">
        <v>30</v>
      </c>
      <c r="G24" s="7">
        <v>68</v>
      </c>
      <c r="H24" s="8">
        <v>1236.25</v>
      </c>
    </row>
    <row r="25" spans="1:8" x14ac:dyDescent="0.2">
      <c r="A25" s="5" t="s">
        <v>51</v>
      </c>
      <c r="B25" s="5" t="s">
        <v>13</v>
      </c>
      <c r="C25" s="6">
        <v>46022</v>
      </c>
      <c r="D25" s="5" t="s">
        <v>52</v>
      </c>
      <c r="E25" s="6">
        <v>46053</v>
      </c>
      <c r="F25" s="5" t="s">
        <v>30</v>
      </c>
      <c r="G25" s="7">
        <v>68</v>
      </c>
      <c r="H25" s="8">
        <v>2616.25</v>
      </c>
    </row>
    <row r="26" spans="1:8" x14ac:dyDescent="0.2">
      <c r="A26" s="5" t="s">
        <v>53</v>
      </c>
      <c r="B26" s="5" t="s">
        <v>13</v>
      </c>
      <c r="C26" s="6">
        <v>46022</v>
      </c>
      <c r="D26" s="5" t="s">
        <v>54</v>
      </c>
      <c r="E26" s="6">
        <v>46053</v>
      </c>
      <c r="F26" s="5" t="s">
        <v>30</v>
      </c>
      <c r="G26" s="7">
        <v>68</v>
      </c>
      <c r="H26" s="8">
        <v>2731.25</v>
      </c>
    </row>
    <row r="27" spans="1:8" x14ac:dyDescent="0.2">
      <c r="A27" s="5" t="s">
        <v>55</v>
      </c>
      <c r="B27" s="5" t="s">
        <v>13</v>
      </c>
      <c r="C27" s="6">
        <v>46022</v>
      </c>
      <c r="D27" s="5" t="s">
        <v>56</v>
      </c>
      <c r="E27" s="6">
        <v>46053</v>
      </c>
      <c r="F27" s="5" t="s">
        <v>30</v>
      </c>
      <c r="G27" s="7">
        <v>68</v>
      </c>
      <c r="H27" s="8">
        <v>1236.25</v>
      </c>
    </row>
    <row r="28" spans="1:8" x14ac:dyDescent="0.2">
      <c r="A28" s="5" t="s">
        <v>57</v>
      </c>
      <c r="B28" s="5" t="s">
        <v>13</v>
      </c>
      <c r="C28" s="6">
        <v>46022</v>
      </c>
      <c r="D28" s="5" t="s">
        <v>58</v>
      </c>
      <c r="E28" s="6">
        <v>46053</v>
      </c>
      <c r="F28" s="5" t="s">
        <v>30</v>
      </c>
      <c r="G28" s="7">
        <v>68</v>
      </c>
      <c r="H28" s="8">
        <v>1236.25</v>
      </c>
    </row>
    <row r="29" spans="1:8" x14ac:dyDescent="0.2">
      <c r="A29" s="5" t="s">
        <v>59</v>
      </c>
      <c r="B29" s="5" t="s">
        <v>13</v>
      </c>
      <c r="C29" s="6">
        <v>46022</v>
      </c>
      <c r="D29" s="5" t="s">
        <v>60</v>
      </c>
      <c r="E29" s="6">
        <v>46053</v>
      </c>
      <c r="F29" s="5" t="s">
        <v>35</v>
      </c>
      <c r="G29" s="7">
        <v>68</v>
      </c>
      <c r="H29" s="8">
        <v>1796.88</v>
      </c>
    </row>
    <row r="30" spans="1:8" x14ac:dyDescent="0.2">
      <c r="A30" s="5" t="s">
        <v>61</v>
      </c>
      <c r="B30" s="5" t="s">
        <v>13</v>
      </c>
      <c r="C30" s="6">
        <v>46022</v>
      </c>
      <c r="D30" s="5" t="s">
        <v>62</v>
      </c>
      <c r="E30" s="6">
        <v>46053</v>
      </c>
      <c r="F30" s="5" t="s">
        <v>30</v>
      </c>
      <c r="G30" s="7">
        <v>68</v>
      </c>
      <c r="H30" s="8">
        <v>2731.25</v>
      </c>
    </row>
    <row r="31" spans="1:8" x14ac:dyDescent="0.2">
      <c r="A31" s="5" t="s">
        <v>63</v>
      </c>
      <c r="B31" s="5" t="s">
        <v>13</v>
      </c>
      <c r="C31" s="6">
        <v>46022</v>
      </c>
      <c r="D31" s="5" t="s">
        <v>64</v>
      </c>
      <c r="E31" s="6">
        <v>46053</v>
      </c>
      <c r="F31" s="5" t="s">
        <v>30</v>
      </c>
      <c r="G31" s="7">
        <v>68</v>
      </c>
      <c r="H31" s="8">
        <v>1840</v>
      </c>
    </row>
    <row r="32" spans="1:8" x14ac:dyDescent="0.2">
      <c r="A32" s="5" t="s">
        <v>65</v>
      </c>
      <c r="B32" s="5" t="s">
        <v>13</v>
      </c>
      <c r="C32" s="6">
        <v>46022</v>
      </c>
      <c r="D32" s="5" t="s">
        <v>66</v>
      </c>
      <c r="E32" s="6">
        <v>46053</v>
      </c>
      <c r="F32" s="5" t="s">
        <v>30</v>
      </c>
      <c r="G32" s="7">
        <v>68</v>
      </c>
      <c r="H32" s="8">
        <v>2501.25</v>
      </c>
    </row>
    <row r="33" spans="1:8" x14ac:dyDescent="0.2">
      <c r="A33" s="5" t="s">
        <v>67</v>
      </c>
      <c r="B33" s="5" t="s">
        <v>13</v>
      </c>
      <c r="C33" s="6">
        <v>46022</v>
      </c>
      <c r="D33" s="5" t="s">
        <v>68</v>
      </c>
      <c r="E33" s="6">
        <v>46053</v>
      </c>
      <c r="F33" s="5" t="s">
        <v>30</v>
      </c>
      <c r="G33" s="7">
        <v>68</v>
      </c>
      <c r="H33" s="8">
        <v>3708.75</v>
      </c>
    </row>
    <row r="34" spans="1:8" x14ac:dyDescent="0.2">
      <c r="A34" s="5" t="s">
        <v>69</v>
      </c>
      <c r="B34" s="5" t="s">
        <v>13</v>
      </c>
      <c r="C34" s="6">
        <v>46022</v>
      </c>
      <c r="D34" s="5" t="s">
        <v>70</v>
      </c>
      <c r="E34" s="6">
        <v>46053</v>
      </c>
      <c r="F34" s="5" t="s">
        <v>30</v>
      </c>
      <c r="G34" s="7">
        <v>68</v>
      </c>
      <c r="H34" s="8">
        <v>2731.25</v>
      </c>
    </row>
    <row r="35" spans="1:8" x14ac:dyDescent="0.2">
      <c r="A35" s="5" t="s">
        <v>71</v>
      </c>
      <c r="B35" s="5" t="s">
        <v>13</v>
      </c>
      <c r="C35" s="6">
        <v>46022</v>
      </c>
      <c r="D35" s="5" t="s">
        <v>72</v>
      </c>
      <c r="E35" s="6">
        <v>46053</v>
      </c>
      <c r="F35" s="5" t="s">
        <v>30</v>
      </c>
      <c r="G35" s="7">
        <v>68</v>
      </c>
      <c r="H35" s="8">
        <v>3708.75</v>
      </c>
    </row>
    <row r="36" spans="1:8" x14ac:dyDescent="0.2">
      <c r="A36" s="5" t="s">
        <v>73</v>
      </c>
      <c r="B36" s="5" t="s">
        <v>13</v>
      </c>
      <c r="C36" s="6">
        <v>45989</v>
      </c>
      <c r="D36" s="5" t="s">
        <v>74</v>
      </c>
      <c r="E36" s="6">
        <v>46049</v>
      </c>
      <c r="F36" s="5" t="s">
        <v>30</v>
      </c>
      <c r="G36" s="7">
        <v>72</v>
      </c>
      <c r="H36" s="8">
        <v>60547.5</v>
      </c>
    </row>
    <row r="37" spans="1:8" x14ac:dyDescent="0.2">
      <c r="A37" s="5" t="s">
        <v>73</v>
      </c>
      <c r="B37" s="5" t="s">
        <v>13</v>
      </c>
      <c r="C37" s="6">
        <v>46022</v>
      </c>
      <c r="D37" s="5" t="s">
        <v>75</v>
      </c>
      <c r="E37" s="6">
        <v>46053</v>
      </c>
      <c r="F37" s="5" t="s">
        <v>30</v>
      </c>
      <c r="G37" s="7">
        <v>68</v>
      </c>
      <c r="H37" s="8">
        <v>3708.75</v>
      </c>
    </row>
    <row r="38" spans="1:8" x14ac:dyDescent="0.2">
      <c r="A38" s="5" t="s">
        <v>76</v>
      </c>
      <c r="B38" s="5" t="s">
        <v>13</v>
      </c>
      <c r="C38" s="6">
        <v>46022</v>
      </c>
      <c r="D38" s="5" t="s">
        <v>77</v>
      </c>
      <c r="E38" s="6">
        <v>46053</v>
      </c>
      <c r="F38" s="5" t="s">
        <v>30</v>
      </c>
      <c r="G38" s="7">
        <v>68</v>
      </c>
      <c r="H38" s="8">
        <v>2501.25</v>
      </c>
    </row>
    <row r="39" spans="1:8" x14ac:dyDescent="0.2">
      <c r="A39" s="5" t="s">
        <v>78</v>
      </c>
      <c r="B39" s="5" t="s">
        <v>13</v>
      </c>
      <c r="C39" s="6">
        <v>46022</v>
      </c>
      <c r="D39" s="5" t="s">
        <v>79</v>
      </c>
      <c r="E39" s="6">
        <v>46053</v>
      </c>
      <c r="F39" s="5" t="s">
        <v>30</v>
      </c>
      <c r="G39" s="7">
        <v>68</v>
      </c>
      <c r="H39" s="8">
        <v>3087.75</v>
      </c>
    </row>
    <row r="40" spans="1:8" x14ac:dyDescent="0.2">
      <c r="A40" s="5" t="s">
        <v>80</v>
      </c>
      <c r="B40" s="5" t="s">
        <v>13</v>
      </c>
      <c r="C40" s="6">
        <v>46022</v>
      </c>
      <c r="D40" s="5" t="s">
        <v>81</v>
      </c>
      <c r="E40" s="6">
        <v>46053</v>
      </c>
      <c r="F40" s="5" t="s">
        <v>30</v>
      </c>
      <c r="G40" s="7">
        <v>68</v>
      </c>
      <c r="H40" s="8">
        <v>2501.25</v>
      </c>
    </row>
    <row r="41" spans="1:8" x14ac:dyDescent="0.2">
      <c r="A41" s="5" t="s">
        <v>82</v>
      </c>
      <c r="B41" s="5" t="s">
        <v>13</v>
      </c>
      <c r="C41" s="6">
        <v>46022</v>
      </c>
      <c r="D41" s="5" t="s">
        <v>83</v>
      </c>
      <c r="E41" s="6">
        <v>46053</v>
      </c>
      <c r="F41" s="5" t="s">
        <v>30</v>
      </c>
      <c r="G41" s="7">
        <v>68</v>
      </c>
      <c r="H41" s="8">
        <v>1236.54</v>
      </c>
    </row>
    <row r="42" spans="1:8" x14ac:dyDescent="0.2">
      <c r="A42" s="5" t="s">
        <v>84</v>
      </c>
      <c r="B42" s="5" t="s">
        <v>13</v>
      </c>
      <c r="C42" s="6">
        <v>46022</v>
      </c>
      <c r="D42" s="5" t="s">
        <v>85</v>
      </c>
      <c r="E42" s="6">
        <v>46053</v>
      </c>
      <c r="F42" s="5" t="s">
        <v>30</v>
      </c>
      <c r="G42" s="7">
        <v>68</v>
      </c>
      <c r="H42" s="8">
        <v>2156.25</v>
      </c>
    </row>
    <row r="43" spans="1:8" x14ac:dyDescent="0.2">
      <c r="A43" s="5" t="s">
        <v>86</v>
      </c>
      <c r="B43" s="5" t="s">
        <v>13</v>
      </c>
      <c r="C43" s="6">
        <v>46022</v>
      </c>
      <c r="D43" s="5" t="s">
        <v>87</v>
      </c>
      <c r="E43" s="6">
        <v>46053</v>
      </c>
      <c r="F43" s="5" t="s">
        <v>30</v>
      </c>
      <c r="G43" s="7">
        <v>68</v>
      </c>
      <c r="H43" s="8">
        <v>1236.25</v>
      </c>
    </row>
    <row r="44" spans="1:8" x14ac:dyDescent="0.2">
      <c r="A44" s="5" t="s">
        <v>88</v>
      </c>
      <c r="B44" s="5" t="s">
        <v>13</v>
      </c>
      <c r="C44" s="6">
        <v>45989</v>
      </c>
      <c r="D44" s="5" t="s">
        <v>89</v>
      </c>
      <c r="E44" s="6">
        <v>46019</v>
      </c>
      <c r="F44" s="5" t="s">
        <v>30</v>
      </c>
      <c r="G44" s="7">
        <v>102</v>
      </c>
      <c r="H44" s="8">
        <v>86353.5</v>
      </c>
    </row>
    <row r="45" spans="1:8" x14ac:dyDescent="0.2">
      <c r="A45" s="5" t="s">
        <v>88</v>
      </c>
      <c r="B45" s="5" t="s">
        <v>13</v>
      </c>
      <c r="C45" s="6">
        <v>46022</v>
      </c>
      <c r="D45" s="5" t="s">
        <v>90</v>
      </c>
      <c r="E45" s="6">
        <v>46053</v>
      </c>
      <c r="F45" s="5" t="s">
        <v>30</v>
      </c>
      <c r="G45" s="7">
        <v>68</v>
      </c>
      <c r="H45" s="8">
        <v>3087.75</v>
      </c>
    </row>
    <row r="46" spans="1:8" x14ac:dyDescent="0.2">
      <c r="A46" s="5" t="s">
        <v>91</v>
      </c>
      <c r="B46" s="5" t="s">
        <v>13</v>
      </c>
      <c r="C46" s="6">
        <v>46022</v>
      </c>
      <c r="D46" s="5" t="s">
        <v>92</v>
      </c>
      <c r="E46" s="6">
        <v>46053</v>
      </c>
      <c r="F46" s="5" t="s">
        <v>30</v>
      </c>
      <c r="G46" s="7">
        <v>68</v>
      </c>
      <c r="H46" s="8">
        <v>1236.54</v>
      </c>
    </row>
    <row r="47" spans="1:8" x14ac:dyDescent="0.2">
      <c r="A47" s="5" t="s">
        <v>93</v>
      </c>
      <c r="B47" s="5" t="s">
        <v>13</v>
      </c>
      <c r="C47" s="6">
        <v>46022</v>
      </c>
      <c r="D47" s="5" t="s">
        <v>94</v>
      </c>
      <c r="E47" s="6">
        <v>46053</v>
      </c>
      <c r="F47" s="5" t="s">
        <v>30</v>
      </c>
      <c r="G47" s="7">
        <v>68</v>
      </c>
      <c r="H47" s="8">
        <v>1236.25</v>
      </c>
    </row>
    <row r="48" spans="1:8" x14ac:dyDescent="0.2">
      <c r="A48" s="5" t="s">
        <v>95</v>
      </c>
      <c r="B48" s="5" t="s">
        <v>37</v>
      </c>
      <c r="C48" s="6">
        <v>45825</v>
      </c>
      <c r="D48" s="5" t="s">
        <v>96</v>
      </c>
      <c r="E48" s="6">
        <v>45825</v>
      </c>
      <c r="F48" s="5" t="s">
        <v>97</v>
      </c>
      <c r="G48" s="7">
        <v>296</v>
      </c>
      <c r="H48" s="8">
        <v>-618.13</v>
      </c>
    </row>
    <row r="49" spans="1:8" x14ac:dyDescent="0.2">
      <c r="A49" s="5" t="s">
        <v>95</v>
      </c>
      <c r="B49" s="5" t="s">
        <v>13</v>
      </c>
      <c r="C49" s="6">
        <v>46022</v>
      </c>
      <c r="D49" s="5" t="s">
        <v>98</v>
      </c>
      <c r="E49" s="6">
        <v>46053</v>
      </c>
      <c r="F49" s="5" t="s">
        <v>35</v>
      </c>
      <c r="G49" s="7">
        <v>68</v>
      </c>
      <c r="H49" s="8">
        <v>2156.25</v>
      </c>
    </row>
    <row r="50" spans="1:8" x14ac:dyDescent="0.2">
      <c r="A50" s="5" t="s">
        <v>99</v>
      </c>
      <c r="B50" s="5" t="s">
        <v>13</v>
      </c>
      <c r="C50" s="6">
        <v>46022</v>
      </c>
      <c r="D50" s="5" t="s">
        <v>100</v>
      </c>
      <c r="E50" s="6">
        <v>46053</v>
      </c>
      <c r="F50" s="5" t="s">
        <v>35</v>
      </c>
      <c r="G50" s="7">
        <v>68</v>
      </c>
      <c r="H50" s="8">
        <v>2156.25</v>
      </c>
    </row>
    <row r="51" spans="1:8" x14ac:dyDescent="0.2">
      <c r="A51" s="5" t="s">
        <v>101</v>
      </c>
      <c r="B51" s="5" t="s">
        <v>13</v>
      </c>
      <c r="C51" s="6">
        <v>46022</v>
      </c>
      <c r="D51" s="5" t="s">
        <v>102</v>
      </c>
      <c r="E51" s="6">
        <v>46053</v>
      </c>
      <c r="F51" s="5" t="s">
        <v>35</v>
      </c>
      <c r="G51" s="7">
        <v>68</v>
      </c>
      <c r="H51" s="8">
        <v>2156.25</v>
      </c>
    </row>
    <row r="52" spans="1:8" x14ac:dyDescent="0.2">
      <c r="A52" s="5" t="s">
        <v>103</v>
      </c>
      <c r="B52" s="5" t="s">
        <v>13</v>
      </c>
      <c r="C52" s="6">
        <v>46022</v>
      </c>
      <c r="D52" s="5" t="s">
        <v>104</v>
      </c>
      <c r="E52" s="6">
        <v>46053</v>
      </c>
      <c r="F52" s="5" t="s">
        <v>35</v>
      </c>
      <c r="G52" s="7">
        <v>68</v>
      </c>
      <c r="H52" s="8">
        <v>3087.75</v>
      </c>
    </row>
    <row r="53" spans="1:8" x14ac:dyDescent="0.2">
      <c r="A53" s="5" t="s">
        <v>105</v>
      </c>
      <c r="B53" s="5" t="s">
        <v>13</v>
      </c>
      <c r="C53" s="6">
        <v>46022</v>
      </c>
      <c r="D53" s="5" t="s">
        <v>106</v>
      </c>
      <c r="E53" s="6">
        <v>46053</v>
      </c>
      <c r="F53" s="5" t="s">
        <v>30</v>
      </c>
      <c r="G53" s="7">
        <v>68</v>
      </c>
      <c r="H53" s="8">
        <v>2156.25</v>
      </c>
    </row>
    <row r="54" spans="1:8" x14ac:dyDescent="0.2">
      <c r="A54" s="5" t="s">
        <v>107</v>
      </c>
      <c r="B54" s="5" t="s">
        <v>37</v>
      </c>
      <c r="C54" s="6">
        <v>45884</v>
      </c>
      <c r="D54" s="5" t="s">
        <v>108</v>
      </c>
      <c r="E54" s="6">
        <v>45884</v>
      </c>
      <c r="F54" s="5" t="s">
        <v>39</v>
      </c>
      <c r="G54" s="7">
        <v>237</v>
      </c>
      <c r="H54" s="8">
        <v>-1346.92</v>
      </c>
    </row>
    <row r="55" spans="1:8" x14ac:dyDescent="0.2">
      <c r="A55" s="5" t="s">
        <v>107</v>
      </c>
      <c r="B55" s="5" t="s">
        <v>13</v>
      </c>
      <c r="C55" s="6">
        <v>46022</v>
      </c>
      <c r="D55" s="5" t="s">
        <v>109</v>
      </c>
      <c r="E55" s="6">
        <v>46053</v>
      </c>
      <c r="F55" s="5" t="s">
        <v>30</v>
      </c>
      <c r="G55" s="7">
        <v>68</v>
      </c>
      <c r="H55" s="8">
        <v>2156.25</v>
      </c>
    </row>
    <row r="56" spans="1:8" x14ac:dyDescent="0.2">
      <c r="A56" s="5" t="s">
        <v>110</v>
      </c>
      <c r="B56" s="5" t="s">
        <v>13</v>
      </c>
      <c r="C56" s="6">
        <v>46022</v>
      </c>
      <c r="D56" s="5" t="s">
        <v>111</v>
      </c>
      <c r="E56" s="6">
        <v>46053</v>
      </c>
      <c r="F56" s="5" t="s">
        <v>35</v>
      </c>
      <c r="G56" s="7">
        <v>68</v>
      </c>
      <c r="H56" s="8">
        <v>2156.54</v>
      </c>
    </row>
    <row r="57" spans="1:8" x14ac:dyDescent="0.2">
      <c r="A57" s="5" t="s">
        <v>112</v>
      </c>
      <c r="B57" s="5" t="s">
        <v>37</v>
      </c>
      <c r="C57" s="6">
        <v>45887</v>
      </c>
      <c r="D57" s="5" t="s">
        <v>113</v>
      </c>
      <c r="E57" s="6">
        <v>45887</v>
      </c>
      <c r="F57" s="5" t="s">
        <v>39</v>
      </c>
      <c r="G57" s="7">
        <v>234</v>
      </c>
      <c r="H57" s="8">
        <v>-1365.56</v>
      </c>
    </row>
    <row r="58" spans="1:8" x14ac:dyDescent="0.2">
      <c r="A58" s="5" t="s">
        <v>112</v>
      </c>
      <c r="B58" s="5" t="s">
        <v>13</v>
      </c>
      <c r="C58" s="6">
        <v>46022</v>
      </c>
      <c r="D58" s="5" t="s">
        <v>114</v>
      </c>
      <c r="E58" s="6">
        <v>46053</v>
      </c>
      <c r="F58" s="5" t="s">
        <v>30</v>
      </c>
      <c r="G58" s="7">
        <v>68</v>
      </c>
      <c r="H58" s="8">
        <v>2156.25</v>
      </c>
    </row>
    <row r="59" spans="1:8" x14ac:dyDescent="0.2">
      <c r="A59" s="5" t="s">
        <v>115</v>
      </c>
      <c r="B59" s="5" t="s">
        <v>37</v>
      </c>
      <c r="C59" s="6">
        <v>45883</v>
      </c>
      <c r="D59" s="5" t="s">
        <v>116</v>
      </c>
      <c r="E59" s="6">
        <v>45883</v>
      </c>
      <c r="F59" s="5" t="s">
        <v>39</v>
      </c>
      <c r="G59" s="7">
        <v>238</v>
      </c>
      <c r="H59" s="8">
        <v>-1476</v>
      </c>
    </row>
    <row r="60" spans="1:8" x14ac:dyDescent="0.2">
      <c r="A60" s="5" t="s">
        <v>115</v>
      </c>
      <c r="B60" s="5" t="s">
        <v>13</v>
      </c>
      <c r="C60" s="6">
        <v>46022</v>
      </c>
      <c r="D60" s="5" t="s">
        <v>117</v>
      </c>
      <c r="E60" s="6">
        <v>46053</v>
      </c>
      <c r="F60" s="5" t="s">
        <v>30</v>
      </c>
      <c r="G60" s="7">
        <v>68</v>
      </c>
      <c r="H60" s="8">
        <v>2156.25</v>
      </c>
    </row>
    <row r="61" spans="1:8" x14ac:dyDescent="0.2">
      <c r="A61" s="5" t="s">
        <v>118</v>
      </c>
      <c r="B61" s="5" t="s">
        <v>13</v>
      </c>
      <c r="C61" s="6">
        <v>45989</v>
      </c>
      <c r="D61" s="5" t="s">
        <v>119</v>
      </c>
      <c r="E61" s="6">
        <v>46049</v>
      </c>
      <c r="F61" s="5" t="s">
        <v>30</v>
      </c>
      <c r="G61" s="7">
        <v>72</v>
      </c>
      <c r="H61" s="8">
        <v>86353.5</v>
      </c>
    </row>
    <row r="62" spans="1:8" x14ac:dyDescent="0.2">
      <c r="A62" s="5" t="s">
        <v>118</v>
      </c>
      <c r="B62" s="5" t="s">
        <v>13</v>
      </c>
      <c r="C62" s="6">
        <v>46022</v>
      </c>
      <c r="D62" s="5" t="s">
        <v>120</v>
      </c>
      <c r="E62" s="6">
        <v>46053</v>
      </c>
      <c r="F62" s="5" t="s">
        <v>30</v>
      </c>
      <c r="G62" s="7">
        <v>68</v>
      </c>
      <c r="H62" s="8">
        <v>2731.25</v>
      </c>
    </row>
    <row r="63" spans="1:8" x14ac:dyDescent="0.2">
      <c r="A63" s="5" t="s">
        <v>121</v>
      </c>
      <c r="B63" s="5" t="s">
        <v>13</v>
      </c>
      <c r="C63" s="6">
        <v>46022</v>
      </c>
      <c r="D63" s="5" t="s">
        <v>122</v>
      </c>
      <c r="E63" s="6">
        <v>46053</v>
      </c>
      <c r="F63" s="5" t="s">
        <v>30</v>
      </c>
      <c r="G63" s="7">
        <v>68</v>
      </c>
      <c r="H63" s="8">
        <v>3087.75</v>
      </c>
    </row>
    <row r="64" spans="1:8" x14ac:dyDescent="0.2">
      <c r="A64" s="5" t="s">
        <v>123</v>
      </c>
      <c r="B64" s="5" t="s">
        <v>13</v>
      </c>
      <c r="C64" s="6">
        <v>46022</v>
      </c>
      <c r="D64" s="5" t="s">
        <v>124</v>
      </c>
      <c r="E64" s="6">
        <v>46053</v>
      </c>
      <c r="F64" s="5" t="s">
        <v>30</v>
      </c>
      <c r="G64" s="7">
        <v>68</v>
      </c>
      <c r="H64" s="8">
        <v>2156.25</v>
      </c>
    </row>
    <row r="65" spans="1:8" x14ac:dyDescent="0.2">
      <c r="A65" s="5" t="s">
        <v>125</v>
      </c>
      <c r="B65" s="5" t="s">
        <v>13</v>
      </c>
      <c r="C65" s="6">
        <v>46022</v>
      </c>
      <c r="D65" s="5" t="s">
        <v>126</v>
      </c>
      <c r="E65" s="6">
        <v>46053</v>
      </c>
      <c r="F65" s="5" t="s">
        <v>30</v>
      </c>
      <c r="G65" s="7">
        <v>68</v>
      </c>
      <c r="H65" s="8">
        <v>3087.75</v>
      </c>
    </row>
    <row r="66" spans="1:8" x14ac:dyDescent="0.2">
      <c r="A66" s="5" t="s">
        <v>125</v>
      </c>
      <c r="B66" s="5" t="s">
        <v>13</v>
      </c>
      <c r="C66" s="6">
        <v>46022</v>
      </c>
      <c r="D66" s="5" t="s">
        <v>127</v>
      </c>
      <c r="E66" s="6">
        <v>46053</v>
      </c>
      <c r="F66" s="5" t="s">
        <v>30</v>
      </c>
      <c r="G66" s="7">
        <v>68</v>
      </c>
      <c r="H66" s="8">
        <v>2616.25</v>
      </c>
    </row>
    <row r="67" spans="1:8" x14ac:dyDescent="0.2">
      <c r="A67" s="5" t="s">
        <v>128</v>
      </c>
      <c r="B67" s="5" t="s">
        <v>13</v>
      </c>
      <c r="C67" s="6">
        <v>46008</v>
      </c>
      <c r="D67" s="5" t="s">
        <v>129</v>
      </c>
      <c r="E67" s="6">
        <v>46038</v>
      </c>
      <c r="F67" s="5" t="s">
        <v>130</v>
      </c>
      <c r="G67" s="7">
        <v>83</v>
      </c>
      <c r="H67" s="8">
        <v>2551.56</v>
      </c>
    </row>
    <row r="68" spans="1:8" x14ac:dyDescent="0.2">
      <c r="A68" s="5" t="s">
        <v>128</v>
      </c>
      <c r="B68" s="5" t="s">
        <v>13</v>
      </c>
      <c r="C68" s="6">
        <v>46022</v>
      </c>
      <c r="D68" s="5" t="s">
        <v>131</v>
      </c>
      <c r="E68" s="6">
        <v>46052</v>
      </c>
      <c r="F68" s="5" t="s">
        <v>130</v>
      </c>
      <c r="G68" s="7">
        <v>69</v>
      </c>
      <c r="H68" s="8">
        <v>1306.4000000000001</v>
      </c>
    </row>
    <row r="69" spans="1:8" x14ac:dyDescent="0.2">
      <c r="A69" s="5" t="s">
        <v>132</v>
      </c>
      <c r="B69" s="5" t="s">
        <v>13</v>
      </c>
      <c r="C69" s="6">
        <v>45938</v>
      </c>
      <c r="D69" s="5" t="s">
        <v>133</v>
      </c>
      <c r="E69" s="6">
        <v>45968</v>
      </c>
      <c r="F69" s="5"/>
      <c r="G69" s="7">
        <v>153</v>
      </c>
      <c r="H69" s="8">
        <v>287.5</v>
      </c>
    </row>
    <row r="70" spans="1:8" x14ac:dyDescent="0.2">
      <c r="A70" s="5" t="s">
        <v>134</v>
      </c>
      <c r="B70" s="5" t="s">
        <v>37</v>
      </c>
      <c r="C70" s="6">
        <v>45692</v>
      </c>
      <c r="D70" s="5" t="s">
        <v>135</v>
      </c>
      <c r="E70" s="6">
        <v>45692</v>
      </c>
      <c r="F70" s="5" t="s">
        <v>136</v>
      </c>
      <c r="G70" s="7">
        <v>429</v>
      </c>
      <c r="H70" s="8">
        <v>-597.41999999999996</v>
      </c>
    </row>
    <row r="71" spans="1:8" x14ac:dyDescent="0.2">
      <c r="A71" s="5" t="s">
        <v>134</v>
      </c>
      <c r="B71" s="5" t="s">
        <v>13</v>
      </c>
      <c r="C71" s="6">
        <v>45910</v>
      </c>
      <c r="D71" s="5" t="s">
        <v>137</v>
      </c>
      <c r="E71" s="6">
        <v>45940</v>
      </c>
      <c r="F71" s="5"/>
      <c r="G71" s="7">
        <v>181</v>
      </c>
      <c r="H71" s="8">
        <v>170.51</v>
      </c>
    </row>
    <row r="72" spans="1:8" x14ac:dyDescent="0.2">
      <c r="A72" s="5" t="s">
        <v>134</v>
      </c>
      <c r="B72" s="5" t="s">
        <v>13</v>
      </c>
      <c r="C72" s="6">
        <v>46003</v>
      </c>
      <c r="D72" s="5" t="s">
        <v>138</v>
      </c>
      <c r="E72" s="6">
        <v>46033</v>
      </c>
      <c r="F72" s="5" t="s">
        <v>136</v>
      </c>
      <c r="G72" s="7">
        <v>88</v>
      </c>
      <c r="H72" s="8">
        <v>5112.8999999999996</v>
      </c>
    </row>
    <row r="73" spans="1:8" x14ac:dyDescent="0.2">
      <c r="A73" s="5" t="s">
        <v>139</v>
      </c>
      <c r="B73" s="5" t="s">
        <v>13</v>
      </c>
      <c r="C73" s="6">
        <v>45900</v>
      </c>
      <c r="D73" s="5" t="s">
        <v>140</v>
      </c>
      <c r="E73" s="6">
        <v>45930</v>
      </c>
      <c r="F73" s="5" t="s">
        <v>141</v>
      </c>
      <c r="G73" s="7">
        <v>191</v>
      </c>
      <c r="H73" s="8">
        <v>2392</v>
      </c>
    </row>
    <row r="74" spans="1:8" x14ac:dyDescent="0.2">
      <c r="A74" s="5" t="s">
        <v>139</v>
      </c>
      <c r="B74" s="5" t="s">
        <v>13</v>
      </c>
      <c r="C74" s="6">
        <v>45900</v>
      </c>
      <c r="D74" s="5" t="s">
        <v>142</v>
      </c>
      <c r="E74" s="6">
        <v>45930</v>
      </c>
      <c r="F74" s="5" t="s">
        <v>141</v>
      </c>
      <c r="G74" s="7">
        <v>191</v>
      </c>
      <c r="H74" s="8">
        <v>2760</v>
      </c>
    </row>
    <row r="75" spans="1:8" x14ac:dyDescent="0.2">
      <c r="A75" s="5" t="s">
        <v>139</v>
      </c>
      <c r="B75" s="5" t="s">
        <v>13</v>
      </c>
      <c r="C75" s="6">
        <v>45930</v>
      </c>
      <c r="D75" s="5" t="s">
        <v>143</v>
      </c>
      <c r="E75" s="6">
        <v>45960</v>
      </c>
      <c r="F75" s="5" t="s">
        <v>141</v>
      </c>
      <c r="G75" s="7">
        <v>161</v>
      </c>
      <c r="H75" s="8">
        <v>2392</v>
      </c>
    </row>
    <row r="76" spans="1:8" x14ac:dyDescent="0.2">
      <c r="A76" s="5" t="s">
        <v>139</v>
      </c>
      <c r="B76" s="5" t="s">
        <v>13</v>
      </c>
      <c r="C76" s="6">
        <v>45960</v>
      </c>
      <c r="D76" s="5" t="s">
        <v>144</v>
      </c>
      <c r="E76" s="6">
        <v>45991</v>
      </c>
      <c r="F76" s="5" t="s">
        <v>141</v>
      </c>
      <c r="G76" s="7">
        <v>130</v>
      </c>
      <c r="H76" s="8">
        <v>2392</v>
      </c>
    </row>
    <row r="77" spans="1:8" x14ac:dyDescent="0.2">
      <c r="A77" s="5" t="s">
        <v>139</v>
      </c>
      <c r="B77" s="5" t="s">
        <v>13</v>
      </c>
      <c r="C77" s="6">
        <v>45986</v>
      </c>
      <c r="D77" s="5" t="s">
        <v>145</v>
      </c>
      <c r="E77" s="6">
        <v>46016</v>
      </c>
      <c r="F77" s="5" t="s">
        <v>141</v>
      </c>
      <c r="G77" s="7">
        <v>105</v>
      </c>
      <c r="H77" s="8">
        <v>2392</v>
      </c>
    </row>
    <row r="78" spans="1:8" x14ac:dyDescent="0.2">
      <c r="A78" s="5" t="s">
        <v>139</v>
      </c>
      <c r="B78" s="5" t="s">
        <v>13</v>
      </c>
      <c r="C78" s="6">
        <v>46020</v>
      </c>
      <c r="D78" s="5" t="s">
        <v>146</v>
      </c>
      <c r="E78" s="6">
        <v>46050</v>
      </c>
      <c r="F78" s="5" t="s">
        <v>141</v>
      </c>
      <c r="G78" s="7">
        <v>71</v>
      </c>
      <c r="H78" s="8">
        <v>2392</v>
      </c>
    </row>
    <row r="79" spans="1:8" x14ac:dyDescent="0.2">
      <c r="A79" s="5" t="s">
        <v>147</v>
      </c>
      <c r="B79" s="5" t="s">
        <v>13</v>
      </c>
      <c r="C79" s="6">
        <v>45992</v>
      </c>
      <c r="D79" s="5" t="s">
        <v>148</v>
      </c>
      <c r="E79" s="6">
        <v>46022</v>
      </c>
      <c r="F79" s="5" t="s">
        <v>149</v>
      </c>
      <c r="G79" s="7">
        <v>99</v>
      </c>
      <c r="H79" s="8">
        <v>1150</v>
      </c>
    </row>
    <row r="80" spans="1:8" x14ac:dyDescent="0.2">
      <c r="A80" s="5" t="s">
        <v>150</v>
      </c>
      <c r="B80" s="5" t="s">
        <v>13</v>
      </c>
      <c r="C80" s="6">
        <v>45783</v>
      </c>
      <c r="D80" s="5" t="s">
        <v>151</v>
      </c>
      <c r="E80" s="6">
        <v>45813</v>
      </c>
      <c r="F80" s="5" t="s">
        <v>152</v>
      </c>
      <c r="G80" s="7">
        <v>308</v>
      </c>
      <c r="H80" s="8">
        <v>16704.53</v>
      </c>
    </row>
    <row r="81" spans="1:8" x14ac:dyDescent="0.2">
      <c r="A81" s="5" t="s">
        <v>150</v>
      </c>
      <c r="B81" s="5" t="s">
        <v>13</v>
      </c>
      <c r="C81" s="6">
        <v>45790</v>
      </c>
      <c r="D81" s="5" t="s">
        <v>153</v>
      </c>
      <c r="E81" s="6">
        <v>45820</v>
      </c>
      <c r="F81" s="5" t="s">
        <v>152</v>
      </c>
      <c r="G81" s="7">
        <v>301</v>
      </c>
      <c r="H81" s="8">
        <v>739.04</v>
      </c>
    </row>
    <row r="82" spans="1:8" x14ac:dyDescent="0.2">
      <c r="A82" s="5" t="s">
        <v>150</v>
      </c>
      <c r="B82" s="5" t="s">
        <v>154</v>
      </c>
      <c r="C82" s="6">
        <v>45838</v>
      </c>
      <c r="D82" s="5" t="s">
        <v>155</v>
      </c>
      <c r="E82" s="6">
        <v>45838</v>
      </c>
      <c r="F82" s="5"/>
      <c r="G82" s="7">
        <v>283</v>
      </c>
      <c r="H82" s="8">
        <v>8583.32</v>
      </c>
    </row>
    <row r="83" spans="1:8" x14ac:dyDescent="0.2">
      <c r="A83" s="5" t="s">
        <v>150</v>
      </c>
      <c r="B83" s="5" t="s">
        <v>13</v>
      </c>
      <c r="C83" s="6">
        <v>45854</v>
      </c>
      <c r="D83" s="5" t="s">
        <v>156</v>
      </c>
      <c r="E83" s="6">
        <v>45884</v>
      </c>
      <c r="F83" s="5" t="s">
        <v>152</v>
      </c>
      <c r="G83" s="7">
        <v>237</v>
      </c>
      <c r="H83" s="8">
        <v>13949.76</v>
      </c>
    </row>
    <row r="84" spans="1:8" x14ac:dyDescent="0.2">
      <c r="A84" s="5" t="s">
        <v>150</v>
      </c>
      <c r="B84" s="5" t="s">
        <v>154</v>
      </c>
      <c r="C84" s="6">
        <v>45869</v>
      </c>
      <c r="D84" s="5" t="s">
        <v>157</v>
      </c>
      <c r="E84" s="6">
        <v>45869</v>
      </c>
      <c r="F84" s="5"/>
      <c r="G84" s="7">
        <v>252</v>
      </c>
      <c r="H84" s="8">
        <v>8583.32</v>
      </c>
    </row>
    <row r="85" spans="1:8" x14ac:dyDescent="0.2">
      <c r="A85" s="5" t="s">
        <v>150</v>
      </c>
      <c r="B85" s="5" t="s">
        <v>154</v>
      </c>
      <c r="C85" s="6">
        <v>45883</v>
      </c>
      <c r="D85" s="5" t="s">
        <v>158</v>
      </c>
      <c r="E85" s="6">
        <v>45883</v>
      </c>
      <c r="F85" s="5"/>
      <c r="G85" s="7">
        <v>238</v>
      </c>
      <c r="H85" s="8">
        <v>11184.2</v>
      </c>
    </row>
    <row r="86" spans="1:8" x14ac:dyDescent="0.2">
      <c r="A86" s="5" t="s">
        <v>150</v>
      </c>
      <c r="B86" s="5" t="s">
        <v>13</v>
      </c>
      <c r="C86" s="6">
        <v>45903</v>
      </c>
      <c r="D86" s="5" t="s">
        <v>159</v>
      </c>
      <c r="E86" s="6">
        <v>45933</v>
      </c>
      <c r="F86" s="5" t="s">
        <v>152</v>
      </c>
      <c r="G86" s="7">
        <v>188</v>
      </c>
      <c r="H86" s="8">
        <v>137.78</v>
      </c>
    </row>
    <row r="87" spans="1:8" x14ac:dyDescent="0.2">
      <c r="A87" s="5" t="s">
        <v>150</v>
      </c>
      <c r="B87" s="5" t="s">
        <v>154</v>
      </c>
      <c r="C87" s="6">
        <v>45912</v>
      </c>
      <c r="D87" s="5" t="s">
        <v>160</v>
      </c>
      <c r="E87" s="6">
        <v>45912</v>
      </c>
      <c r="F87" s="5"/>
      <c r="G87" s="7">
        <v>209</v>
      </c>
      <c r="H87" s="8">
        <v>8583.32</v>
      </c>
    </row>
    <row r="88" spans="1:8" x14ac:dyDescent="0.2">
      <c r="A88" s="5" t="s">
        <v>150</v>
      </c>
      <c r="B88" s="5" t="s">
        <v>154</v>
      </c>
      <c r="C88" s="6">
        <v>45961</v>
      </c>
      <c r="D88" s="5" t="s">
        <v>161</v>
      </c>
      <c r="E88" s="6">
        <v>45961</v>
      </c>
      <c r="F88" s="5"/>
      <c r="G88" s="7">
        <v>160</v>
      </c>
      <c r="H88" s="8">
        <v>8583.32</v>
      </c>
    </row>
    <row r="89" spans="1:8" x14ac:dyDescent="0.2">
      <c r="A89" s="5" t="s">
        <v>150</v>
      </c>
      <c r="B89" s="5" t="s">
        <v>154</v>
      </c>
      <c r="C89" s="6">
        <v>45991</v>
      </c>
      <c r="D89" s="5" t="s">
        <v>162</v>
      </c>
      <c r="E89" s="6">
        <v>45991</v>
      </c>
      <c r="F89" s="5"/>
      <c r="G89" s="7">
        <v>130</v>
      </c>
      <c r="H89" s="8">
        <v>8583.32</v>
      </c>
    </row>
    <row r="90" spans="1:8" x14ac:dyDescent="0.2">
      <c r="A90" s="5" t="s">
        <v>150</v>
      </c>
      <c r="B90" s="5" t="s">
        <v>154</v>
      </c>
      <c r="C90" s="6">
        <v>46022</v>
      </c>
      <c r="D90" s="5" t="s">
        <v>163</v>
      </c>
      <c r="E90" s="6">
        <v>46022</v>
      </c>
      <c r="F90" s="5"/>
      <c r="G90" s="7">
        <v>99</v>
      </c>
      <c r="H90" s="8">
        <v>8583.32</v>
      </c>
    </row>
    <row r="91" spans="1:8" x14ac:dyDescent="0.2">
      <c r="A91" s="5" t="s">
        <v>150</v>
      </c>
      <c r="B91" s="5" t="s">
        <v>164</v>
      </c>
      <c r="C91" s="6">
        <v>46022</v>
      </c>
      <c r="D91" s="5" t="s">
        <v>165</v>
      </c>
      <c r="E91" s="6">
        <v>46022</v>
      </c>
      <c r="F91" s="5"/>
      <c r="G91" s="7">
        <v>99</v>
      </c>
      <c r="H91" s="8">
        <v>1925.76</v>
      </c>
    </row>
    <row r="92" spans="1:8" x14ac:dyDescent="0.2">
      <c r="A92" s="5" t="s">
        <v>166</v>
      </c>
      <c r="B92" s="5" t="s">
        <v>13</v>
      </c>
      <c r="C92" s="6">
        <v>45992</v>
      </c>
      <c r="D92" s="5" t="s">
        <v>167</v>
      </c>
      <c r="E92" s="6">
        <v>46022</v>
      </c>
      <c r="F92" s="5" t="s">
        <v>168</v>
      </c>
      <c r="G92" s="7">
        <v>99</v>
      </c>
      <c r="H92" s="8">
        <v>29168.05</v>
      </c>
    </row>
    <row r="93" spans="1:8" x14ac:dyDescent="0.2">
      <c r="A93" s="5" t="s">
        <v>166</v>
      </c>
      <c r="B93" s="5" t="s">
        <v>13</v>
      </c>
      <c r="C93" s="6">
        <v>46022</v>
      </c>
      <c r="D93" s="5" t="s">
        <v>169</v>
      </c>
      <c r="E93" s="6">
        <v>46052</v>
      </c>
      <c r="F93" s="5" t="s">
        <v>170</v>
      </c>
      <c r="G93" s="7">
        <v>69</v>
      </c>
      <c r="H93" s="8">
        <v>431.25</v>
      </c>
    </row>
    <row r="94" spans="1:8" ht="10.5" x14ac:dyDescent="0.2">
      <c r="A94" s="9" t="s">
        <v>171</v>
      </c>
      <c r="B94" s="9"/>
      <c r="C94" s="10"/>
      <c r="D94" s="9"/>
      <c r="E94" s="10"/>
      <c r="F94" s="9"/>
      <c r="G94" s="11"/>
      <c r="H94" s="12">
        <f>SUM(H6:H93)</f>
        <v>569583.80000000005</v>
      </c>
    </row>
  </sheetData>
  <mergeCells count="4">
    <mergeCell ref="A1:H1"/>
    <mergeCell ref="A2:H2"/>
    <mergeCell ref="A3:H3"/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CollectionsARAgingDetail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Julita Sius</cp:lastModifiedBy>
  <dcterms:created xsi:type="dcterms:W3CDTF">2026-04-09T07:20:04Z</dcterms:created>
  <dcterms:modified xsi:type="dcterms:W3CDTF">2026-04-09T07:20:33Z</dcterms:modified>
</cp:coreProperties>
</file>